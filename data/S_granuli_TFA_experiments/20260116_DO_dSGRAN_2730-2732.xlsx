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Inma_Paqui\colaboracion_daneses\ensayos_biofilm\Biofilm assay 16 enero 2026\raw_data_paper\"/>
    </mc:Choice>
  </mc:AlternateContent>
  <xr:revisionPtr revIDLastSave="0" documentId="13_ncr:1_{4E1FBA3C-B830-4A6E-B7EE-8B459BE60D1F}" xr6:coauthVersionLast="47" xr6:coauthVersionMax="47" xr10:uidLastSave="{00000000-0000-0000-0000-000000000000}"/>
  <bookViews>
    <workbookView xWindow="-108" yWindow="-108" windowWidth="23256" windowHeight="12456" xr2:uid="{3268E2E2-84C3-430D-9C69-A24F94C139A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J32" i="1"/>
  <c r="C29" i="1"/>
  <c r="C31" i="1"/>
  <c r="L34" i="1"/>
  <c r="C30" i="1"/>
  <c r="D30" i="1"/>
  <c r="E30" i="1"/>
  <c r="F30" i="1"/>
  <c r="G30" i="1"/>
  <c r="H30" i="1"/>
  <c r="I30" i="1"/>
  <c r="J30" i="1"/>
  <c r="K30" i="1"/>
  <c r="L30" i="1"/>
  <c r="E31" i="1"/>
  <c r="F31" i="1"/>
  <c r="G31" i="1"/>
  <c r="H31" i="1"/>
  <c r="I31" i="1"/>
  <c r="J31" i="1"/>
  <c r="K31" i="1"/>
  <c r="L31" i="1"/>
  <c r="C32" i="1"/>
  <c r="D32" i="1"/>
  <c r="E32" i="1"/>
  <c r="F32" i="1"/>
  <c r="G32" i="1"/>
  <c r="H32" i="1"/>
  <c r="I32" i="1"/>
  <c r="K32" i="1"/>
  <c r="L32" i="1"/>
  <c r="C33" i="1"/>
  <c r="D33" i="1"/>
  <c r="E33" i="1"/>
  <c r="F33" i="1"/>
  <c r="G33" i="1"/>
  <c r="H33" i="1"/>
  <c r="I33" i="1"/>
  <c r="J33" i="1"/>
  <c r="K33" i="1"/>
  <c r="L33" i="1"/>
  <c r="C34" i="1"/>
  <c r="D34" i="1"/>
  <c r="E34" i="1"/>
  <c r="F34" i="1"/>
  <c r="G34" i="1"/>
  <c r="H34" i="1"/>
  <c r="I34" i="1"/>
  <c r="J34" i="1"/>
  <c r="K34" i="1"/>
  <c r="D29" i="1"/>
  <c r="E29" i="1"/>
  <c r="F29" i="1"/>
  <c r="G29" i="1"/>
  <c r="H29" i="1"/>
  <c r="I29" i="1"/>
  <c r="J29" i="1"/>
  <c r="K29" i="1"/>
  <c r="L29" i="1"/>
</calcChain>
</file>

<file path=xl/sharedStrings.xml><?xml version="1.0" encoding="utf-8"?>
<sst xmlns="http://schemas.openxmlformats.org/spreadsheetml/2006/main" count="33" uniqueCount="24">
  <si>
    <t>User: USER</t>
  </si>
  <si>
    <t>Path: C:\Program Files (x86)\BMG\Omega\User\Data</t>
  </si>
  <si>
    <t>Test ID: 1250</t>
  </si>
  <si>
    <t>Test Name: FERNAN DO NEW</t>
  </si>
  <si>
    <t>Date: 23/12/2025</t>
  </si>
  <si>
    <t>Time: 12:47:55</t>
  </si>
  <si>
    <t>Absorbance</t>
  </si>
  <si>
    <t>Absorbance values are displayed as OD</t>
  </si>
  <si>
    <t>Absorbance values are pathlength corrected!</t>
  </si>
  <si>
    <t>Raw Data  (600)</t>
  </si>
  <si>
    <t>A</t>
  </si>
  <si>
    <t>B</t>
  </si>
  <si>
    <t>C</t>
  </si>
  <si>
    <t>D</t>
  </si>
  <si>
    <t>E</t>
  </si>
  <si>
    <t>F</t>
  </si>
  <si>
    <t>G</t>
  </si>
  <si>
    <t>H</t>
  </si>
  <si>
    <t>Raw Data  (600) Blank corrected</t>
  </si>
  <si>
    <t>Culture values from edge wells were not used due to evaporation.</t>
  </si>
  <si>
    <t>MM + BHB (blank; values used for blank correction are shown in bold).</t>
  </si>
  <si>
    <t>Culture values.</t>
  </si>
  <si>
    <t>Initial O.D.600 nm</t>
  </si>
  <si>
    <t>*These values are the ones represented in the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</si>
</sst>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6" borderId="4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6" borderId="8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6" borderId="6" xfId="0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7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47F4-599F-44F4-B487-A440F73A5A0F}">
  <dimension ref="A3:P36"/>
  <sheetViews>
    <sheetView tabSelected="1" workbookViewId="0">
      <selection activeCell="O23" sqref="O23"/>
    </sheetView>
  </sheetViews>
  <sheetFormatPr baseColWidth="10" defaultRowHeight="14.4" x14ac:dyDescent="0.3"/>
  <cols>
    <col min="1" max="1" width="15.88671875" customWidth="1"/>
  </cols>
  <sheetData>
    <row r="3" spans="1:16" x14ac:dyDescent="0.3">
      <c r="A3" t="s">
        <v>0</v>
      </c>
    </row>
    <row r="4" spans="1:16" x14ac:dyDescent="0.3">
      <c r="A4" t="s">
        <v>1</v>
      </c>
    </row>
    <row r="5" spans="1:16" x14ac:dyDescent="0.3">
      <c r="A5" t="s">
        <v>2</v>
      </c>
    </row>
    <row r="6" spans="1:16" x14ac:dyDescent="0.3">
      <c r="A6" t="s">
        <v>3</v>
      </c>
    </row>
    <row r="7" spans="1:16" x14ac:dyDescent="0.3">
      <c r="A7" t="s">
        <v>4</v>
      </c>
    </row>
    <row r="8" spans="1:16" x14ac:dyDescent="0.3">
      <c r="A8" t="s">
        <v>5</v>
      </c>
    </row>
    <row r="9" spans="1:16" x14ac:dyDescent="0.3">
      <c r="A9" t="s">
        <v>6</v>
      </c>
      <c r="D9" t="s">
        <v>7</v>
      </c>
      <c r="H9" t="s">
        <v>8</v>
      </c>
    </row>
    <row r="13" spans="1:16" x14ac:dyDescent="0.3">
      <c r="B13" t="s">
        <v>9</v>
      </c>
    </row>
    <row r="14" spans="1:16" x14ac:dyDescent="0.3">
      <c r="A14" s="8" t="s">
        <v>22</v>
      </c>
      <c r="B14" s="9"/>
      <c r="C14" s="9">
        <v>2.9296999999999998E-4</v>
      </c>
      <c r="D14" s="9">
        <v>5.8593999999999996E-4</v>
      </c>
      <c r="E14" s="9">
        <v>1.1718799999999999E-3</v>
      </c>
      <c r="F14" s="9">
        <v>2.3437499999999999E-3</v>
      </c>
      <c r="G14" s="9">
        <v>4.6874999999999998E-3</v>
      </c>
      <c r="H14" s="9">
        <v>9.3749999999999997E-3</v>
      </c>
      <c r="I14" s="9">
        <v>1.8749999999999999E-2</v>
      </c>
      <c r="J14" s="9">
        <v>3.7499999999999999E-2</v>
      </c>
      <c r="K14" s="9">
        <v>7.4999999999999997E-2</v>
      </c>
      <c r="L14" s="9">
        <v>0.15</v>
      </c>
      <c r="M14" s="9"/>
    </row>
    <row r="15" spans="1:16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6" x14ac:dyDescent="0.3">
      <c r="A16" s="1" t="s">
        <v>10</v>
      </c>
      <c r="B16" s="13">
        <v>7.0000000000000007E-2</v>
      </c>
      <c r="C16" s="3">
        <v>0.13400000000000001</v>
      </c>
      <c r="D16" s="3">
        <v>0.14099999999999999</v>
      </c>
      <c r="E16" s="3">
        <v>0.28599999999999998</v>
      </c>
      <c r="F16" s="3">
        <v>0.82699999999999996</v>
      </c>
      <c r="G16" s="3">
        <v>0.27300000000000002</v>
      </c>
      <c r="H16" s="3">
        <v>1.79</v>
      </c>
      <c r="I16" s="3">
        <v>2.0830000000000002</v>
      </c>
      <c r="J16" s="3">
        <v>2.8639999999999999</v>
      </c>
      <c r="K16" s="3">
        <v>3.2480000000000002</v>
      </c>
      <c r="L16" s="3">
        <v>4.0170000000000003</v>
      </c>
      <c r="M16" s="10">
        <v>6.7000000000000004E-2</v>
      </c>
      <c r="O16" s="4"/>
      <c r="P16" s="5" t="s">
        <v>19</v>
      </c>
    </row>
    <row r="17" spans="1:16" x14ac:dyDescent="0.3">
      <c r="A17" s="1" t="s">
        <v>11</v>
      </c>
      <c r="B17" s="15">
        <v>7.8E-2</v>
      </c>
      <c r="C17" s="16">
        <v>0.14199999999999999</v>
      </c>
      <c r="D17" s="16">
        <v>0.13800000000000001</v>
      </c>
      <c r="E17" s="16">
        <v>0.32100000000000001</v>
      </c>
      <c r="F17" s="16">
        <v>0.86699999999999999</v>
      </c>
      <c r="G17" s="16">
        <v>1.077</v>
      </c>
      <c r="H17" s="16">
        <v>1.6830000000000001</v>
      </c>
      <c r="I17" s="16">
        <v>1.845</v>
      </c>
      <c r="J17" s="16">
        <v>2.645</v>
      </c>
      <c r="K17" s="16">
        <v>3.6389999999999998</v>
      </c>
      <c r="L17" s="16">
        <v>3.3740000000000001</v>
      </c>
      <c r="M17" s="11">
        <v>7.3999999999999996E-2</v>
      </c>
      <c r="O17" s="6"/>
      <c r="P17" s="5" t="s">
        <v>20</v>
      </c>
    </row>
    <row r="18" spans="1:16" x14ac:dyDescent="0.3">
      <c r="A18" s="1" t="s">
        <v>12</v>
      </c>
      <c r="B18" s="15">
        <v>8.1000000000000003E-2</v>
      </c>
      <c r="C18" s="16">
        <v>0.15</v>
      </c>
      <c r="D18" s="16">
        <v>0.16800000000000001</v>
      </c>
      <c r="E18" s="16">
        <v>0.309</v>
      </c>
      <c r="F18" s="16">
        <v>0.748</v>
      </c>
      <c r="G18" s="16">
        <v>0.97199999999999998</v>
      </c>
      <c r="H18" s="16">
        <v>1.2350000000000001</v>
      </c>
      <c r="I18" s="16">
        <v>1.569</v>
      </c>
      <c r="J18" s="16">
        <v>2.1680000000000001</v>
      </c>
      <c r="K18" s="16">
        <v>3.028</v>
      </c>
      <c r="L18" s="16">
        <v>3.87</v>
      </c>
      <c r="M18" s="11">
        <v>7.6999999999999999E-2</v>
      </c>
      <c r="O18" s="7"/>
      <c r="P18" s="5" t="s">
        <v>21</v>
      </c>
    </row>
    <row r="19" spans="1:16" x14ac:dyDescent="0.3">
      <c r="A19" s="1" t="s">
        <v>13</v>
      </c>
      <c r="B19" s="15">
        <v>8.1000000000000003E-2</v>
      </c>
      <c r="C19" s="16">
        <v>0.13</v>
      </c>
      <c r="D19" s="16">
        <v>0.128</v>
      </c>
      <c r="E19" s="16">
        <v>0.27700000000000002</v>
      </c>
      <c r="F19" s="16">
        <v>0.66400000000000003</v>
      </c>
      <c r="G19" s="16">
        <v>0.98599999999999999</v>
      </c>
      <c r="H19" s="16">
        <v>1.248</v>
      </c>
      <c r="I19" s="16">
        <v>1.381</v>
      </c>
      <c r="J19" s="16">
        <v>2.0539999999999998</v>
      </c>
      <c r="K19" s="16">
        <v>3.0529999999999999</v>
      </c>
      <c r="L19" s="16">
        <v>3.8</v>
      </c>
      <c r="M19" s="11">
        <v>0.09</v>
      </c>
    </row>
    <row r="20" spans="1:16" x14ac:dyDescent="0.3">
      <c r="A20" s="1" t="s">
        <v>14</v>
      </c>
      <c r="B20" s="15">
        <v>8.5999999999999993E-2</v>
      </c>
      <c r="C20" s="16">
        <v>0.123</v>
      </c>
      <c r="D20" s="16">
        <v>0.14799999999999999</v>
      </c>
      <c r="E20" s="16">
        <v>0.28999999999999998</v>
      </c>
      <c r="F20" s="16">
        <v>0.64200000000000002</v>
      </c>
      <c r="G20" s="16">
        <v>0.84599999999999997</v>
      </c>
      <c r="H20" s="16">
        <v>1.2370000000000001</v>
      </c>
      <c r="I20" s="16">
        <v>1.425</v>
      </c>
      <c r="J20" s="16">
        <v>1.7949999999999999</v>
      </c>
      <c r="K20" s="16">
        <v>2.5070000000000001</v>
      </c>
      <c r="L20" s="16">
        <v>3.988</v>
      </c>
      <c r="M20" s="11">
        <v>7.8E-2</v>
      </c>
    </row>
    <row r="21" spans="1:16" x14ac:dyDescent="0.3">
      <c r="A21" s="1" t="s">
        <v>15</v>
      </c>
      <c r="B21" s="15">
        <v>8.4000000000000005E-2</v>
      </c>
      <c r="C21" s="16">
        <v>0.11600000000000001</v>
      </c>
      <c r="D21" s="16">
        <v>0.13200000000000001</v>
      </c>
      <c r="E21" s="16">
        <v>0.24399999999999999</v>
      </c>
      <c r="F21" s="16">
        <v>0.60499999999999998</v>
      </c>
      <c r="G21" s="16">
        <v>1.0249999999999999</v>
      </c>
      <c r="H21" s="16">
        <v>1.252</v>
      </c>
      <c r="I21" s="16">
        <v>1.476</v>
      </c>
      <c r="J21" s="16">
        <v>1.786</v>
      </c>
      <c r="K21" s="16">
        <v>2.4009999999999998</v>
      </c>
      <c r="L21" s="16">
        <v>4.0620000000000003</v>
      </c>
      <c r="M21" s="11">
        <v>7.3999999999999996E-2</v>
      </c>
    </row>
    <row r="22" spans="1:16" x14ac:dyDescent="0.3">
      <c r="A22" s="1" t="s">
        <v>16</v>
      </c>
      <c r="B22" s="15">
        <v>9.0999999999999998E-2</v>
      </c>
      <c r="C22" s="16">
        <v>0.107</v>
      </c>
      <c r="D22" s="16">
        <v>0.13200000000000001</v>
      </c>
      <c r="E22" s="16">
        <v>0.19400000000000001</v>
      </c>
      <c r="F22" s="16">
        <v>0.36199999999999999</v>
      </c>
      <c r="G22" s="16">
        <v>0.53200000000000003</v>
      </c>
      <c r="H22" s="16">
        <v>1.05</v>
      </c>
      <c r="I22" s="16">
        <v>1.71</v>
      </c>
      <c r="J22" s="16">
        <v>2.2210000000000001</v>
      </c>
      <c r="K22" s="16">
        <v>3.073</v>
      </c>
      <c r="L22" s="16">
        <v>5.3360000000000003</v>
      </c>
      <c r="M22" s="11">
        <v>7.3999999999999996E-2</v>
      </c>
    </row>
    <row r="23" spans="1:16" x14ac:dyDescent="0.3">
      <c r="A23" s="1" t="s">
        <v>17</v>
      </c>
      <c r="B23" s="14">
        <v>7.8E-2</v>
      </c>
      <c r="C23" s="2">
        <v>9.7000000000000003E-2</v>
      </c>
      <c r="D23" s="2">
        <v>9.5000000000000001E-2</v>
      </c>
      <c r="E23" s="2">
        <v>9.5000000000000001E-2</v>
      </c>
      <c r="F23" s="2">
        <v>9.9000000000000005E-2</v>
      </c>
      <c r="G23" s="2">
        <v>9.6000000000000002E-2</v>
      </c>
      <c r="H23" s="2">
        <v>0.115</v>
      </c>
      <c r="I23" s="2">
        <v>0.26800000000000002</v>
      </c>
      <c r="J23" s="2">
        <v>2.2320000000000002</v>
      </c>
      <c r="K23" s="2">
        <v>3.4820000000000002</v>
      </c>
      <c r="L23" s="2">
        <v>3.2570000000000001</v>
      </c>
      <c r="M23" s="12">
        <v>9.1999999999999998E-2</v>
      </c>
    </row>
    <row r="25" spans="1:16" x14ac:dyDescent="0.3">
      <c r="B25" t="s">
        <v>18</v>
      </c>
    </row>
    <row r="26" spans="1:16" x14ac:dyDescent="0.3">
      <c r="A26" s="8" t="s">
        <v>22</v>
      </c>
      <c r="B26" s="9"/>
      <c r="C26" s="9">
        <v>2.9296999999999998E-4</v>
      </c>
      <c r="D26" s="9">
        <v>5.8593999999999996E-4</v>
      </c>
      <c r="E26" s="9">
        <v>1.1718799999999999E-3</v>
      </c>
      <c r="F26" s="9">
        <v>2.3437499999999999E-3</v>
      </c>
      <c r="G26" s="9">
        <v>4.6874999999999998E-3</v>
      </c>
      <c r="H26" s="9">
        <v>9.3749999999999997E-3</v>
      </c>
      <c r="I26" s="9">
        <v>1.8749999999999999E-2</v>
      </c>
      <c r="J26" s="9">
        <v>3.7499999999999999E-2</v>
      </c>
      <c r="K26" s="9">
        <v>7.4999999999999997E-2</v>
      </c>
      <c r="L26" s="9">
        <v>0.15</v>
      </c>
      <c r="M26" s="9"/>
    </row>
    <row r="27" spans="1:16" x14ac:dyDescent="0.3"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</row>
    <row r="28" spans="1:16" x14ac:dyDescent="0.3">
      <c r="A28" s="1" t="s">
        <v>10</v>
      </c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17"/>
    </row>
    <row r="29" spans="1:16" x14ac:dyDescent="0.3">
      <c r="A29" s="1" t="s">
        <v>11</v>
      </c>
      <c r="B29" s="22"/>
      <c r="C29" s="16">
        <f>C17-AVERAGE($B$17:$B$22)</f>
        <v>5.8499999999999983E-2</v>
      </c>
      <c r="D29" s="16">
        <f t="shared" ref="D29:L29" si="0">D17-AVERAGE($B$17:$B$22)</f>
        <v>5.4500000000000007E-2</v>
      </c>
      <c r="E29" s="16">
        <f t="shared" si="0"/>
        <v>0.23749999999999999</v>
      </c>
      <c r="F29" s="16">
        <f t="shared" si="0"/>
        <v>0.78349999999999997</v>
      </c>
      <c r="G29" s="16">
        <f t="shared" si="0"/>
        <v>0.99349999999999994</v>
      </c>
      <c r="H29" s="16">
        <f t="shared" si="0"/>
        <v>1.5995000000000001</v>
      </c>
      <c r="I29" s="16">
        <f t="shared" si="0"/>
        <v>1.7615000000000001</v>
      </c>
      <c r="J29" s="16">
        <f t="shared" si="0"/>
        <v>2.5615000000000001</v>
      </c>
      <c r="K29" s="16">
        <f t="shared" si="0"/>
        <v>3.5554999999999999</v>
      </c>
      <c r="L29" s="16">
        <f t="shared" si="0"/>
        <v>3.2905000000000002</v>
      </c>
      <c r="M29" s="18"/>
    </row>
    <row r="30" spans="1:16" x14ac:dyDescent="0.3">
      <c r="A30" s="1" t="s">
        <v>12</v>
      </c>
      <c r="B30" s="22"/>
      <c r="C30" s="16">
        <f t="shared" ref="C30:L30" si="1">C18-AVERAGE($B$17:$B$22)</f>
        <v>6.649999999999999E-2</v>
      </c>
      <c r="D30" s="16">
        <f t="shared" si="1"/>
        <v>8.4500000000000006E-2</v>
      </c>
      <c r="E30" s="16">
        <f t="shared" si="1"/>
        <v>0.22549999999999998</v>
      </c>
      <c r="F30" s="16">
        <f t="shared" si="1"/>
        <v>0.66449999999999998</v>
      </c>
      <c r="G30" s="16">
        <f t="shared" si="1"/>
        <v>0.88849999999999996</v>
      </c>
      <c r="H30" s="16">
        <f t="shared" si="1"/>
        <v>1.1515000000000002</v>
      </c>
      <c r="I30" s="16">
        <f t="shared" si="1"/>
        <v>1.4855</v>
      </c>
      <c r="J30" s="16">
        <f t="shared" si="1"/>
        <v>2.0845000000000002</v>
      </c>
      <c r="K30" s="16">
        <f t="shared" si="1"/>
        <v>2.9445000000000001</v>
      </c>
      <c r="L30" s="16">
        <f t="shared" si="1"/>
        <v>3.7865000000000002</v>
      </c>
      <c r="M30" s="18"/>
    </row>
    <row r="31" spans="1:16" x14ac:dyDescent="0.3">
      <c r="A31" s="1" t="s">
        <v>13</v>
      </c>
      <c r="B31" s="22"/>
      <c r="C31" s="16">
        <f>C19-AVERAGE($B$17:$B$22)</f>
        <v>4.65E-2</v>
      </c>
      <c r="D31" s="16">
        <f>D19-AVERAGE($B$17:$B$22)</f>
        <v>4.4499999999999998E-2</v>
      </c>
      <c r="E31" s="16">
        <f t="shared" ref="E31:L31" si="2">E19-AVERAGE($B$17:$B$22)</f>
        <v>0.19350000000000001</v>
      </c>
      <c r="F31" s="16">
        <f t="shared" si="2"/>
        <v>0.58050000000000002</v>
      </c>
      <c r="G31" s="16">
        <f t="shared" si="2"/>
        <v>0.90249999999999997</v>
      </c>
      <c r="H31" s="16">
        <f t="shared" si="2"/>
        <v>1.1645000000000001</v>
      </c>
      <c r="I31" s="16">
        <f t="shared" si="2"/>
        <v>1.2975000000000001</v>
      </c>
      <c r="J31" s="16">
        <f t="shared" si="2"/>
        <v>1.9704999999999999</v>
      </c>
      <c r="K31" s="16">
        <f t="shared" si="2"/>
        <v>2.9695</v>
      </c>
      <c r="L31" s="16">
        <f t="shared" si="2"/>
        <v>3.7164999999999999</v>
      </c>
      <c r="M31" s="18"/>
    </row>
    <row r="32" spans="1:16" x14ac:dyDescent="0.3">
      <c r="A32" s="1" t="s">
        <v>14</v>
      </c>
      <c r="B32" s="22"/>
      <c r="C32" s="16">
        <f t="shared" ref="C32:L32" si="3">C20-AVERAGE($B$17:$B$22)</f>
        <v>3.9499999999999993E-2</v>
      </c>
      <c r="D32" s="16">
        <f t="shared" si="3"/>
        <v>6.4499999999999988E-2</v>
      </c>
      <c r="E32" s="16">
        <f t="shared" si="3"/>
        <v>0.20649999999999996</v>
      </c>
      <c r="F32" s="16">
        <f t="shared" si="3"/>
        <v>0.5585</v>
      </c>
      <c r="G32" s="16">
        <f t="shared" si="3"/>
        <v>0.76249999999999996</v>
      </c>
      <c r="H32" s="16">
        <f t="shared" si="3"/>
        <v>1.1535000000000002</v>
      </c>
      <c r="I32" s="16">
        <f t="shared" si="3"/>
        <v>1.3415000000000001</v>
      </c>
      <c r="J32" s="16">
        <f>J20-AVERAGE($B$17:$B$22)</f>
        <v>1.7115</v>
      </c>
      <c r="K32" s="16">
        <f t="shared" si="3"/>
        <v>2.4235000000000002</v>
      </c>
      <c r="L32" s="16">
        <f t="shared" si="3"/>
        <v>3.9045000000000001</v>
      </c>
      <c r="M32" s="18"/>
    </row>
    <row r="33" spans="1:13" x14ac:dyDescent="0.3">
      <c r="A33" s="1" t="s">
        <v>15</v>
      </c>
      <c r="B33" s="22"/>
      <c r="C33" s="16">
        <f t="shared" ref="C33:L33" si="4">C21-AVERAGE($B$17:$B$22)</f>
        <v>3.2500000000000001E-2</v>
      </c>
      <c r="D33" s="16">
        <f t="shared" si="4"/>
        <v>4.8500000000000001E-2</v>
      </c>
      <c r="E33" s="16">
        <f t="shared" si="4"/>
        <v>0.16049999999999998</v>
      </c>
      <c r="F33" s="16">
        <f t="shared" si="4"/>
        <v>0.52149999999999996</v>
      </c>
      <c r="G33" s="16">
        <f t="shared" si="4"/>
        <v>0.94149999999999989</v>
      </c>
      <c r="H33" s="16">
        <f t="shared" si="4"/>
        <v>1.1685000000000001</v>
      </c>
      <c r="I33" s="16">
        <f t="shared" si="4"/>
        <v>1.3925000000000001</v>
      </c>
      <c r="J33" s="16">
        <f t="shared" si="4"/>
        <v>1.7025000000000001</v>
      </c>
      <c r="K33" s="16">
        <f t="shared" si="4"/>
        <v>2.3174999999999999</v>
      </c>
      <c r="L33" s="16">
        <f t="shared" si="4"/>
        <v>3.9785000000000004</v>
      </c>
      <c r="M33" s="18"/>
    </row>
    <row r="34" spans="1:13" x14ac:dyDescent="0.3">
      <c r="A34" s="1" t="s">
        <v>16</v>
      </c>
      <c r="B34" s="22"/>
      <c r="C34" s="16">
        <f t="shared" ref="C34:K34" si="5">C22-AVERAGE($B$17:$B$22)</f>
        <v>2.3499999999999993E-2</v>
      </c>
      <c r="D34" s="16">
        <f t="shared" si="5"/>
        <v>4.8500000000000001E-2</v>
      </c>
      <c r="E34" s="16">
        <f t="shared" si="5"/>
        <v>0.1105</v>
      </c>
      <c r="F34" s="16">
        <f t="shared" si="5"/>
        <v>0.27849999999999997</v>
      </c>
      <c r="G34" s="16">
        <f t="shared" si="5"/>
        <v>0.44850000000000001</v>
      </c>
      <c r="H34" s="16">
        <f t="shared" si="5"/>
        <v>0.96650000000000003</v>
      </c>
      <c r="I34" s="16">
        <f t="shared" si="5"/>
        <v>1.6265000000000001</v>
      </c>
      <c r="J34" s="16">
        <f t="shared" si="5"/>
        <v>2.1375000000000002</v>
      </c>
      <c r="K34" s="16">
        <f t="shared" si="5"/>
        <v>2.9895</v>
      </c>
      <c r="L34" s="16">
        <f>L22-AVERAGE($B$17:$B$22)</f>
        <v>5.2525000000000004</v>
      </c>
      <c r="M34" s="18"/>
    </row>
    <row r="35" spans="1:13" x14ac:dyDescent="0.3">
      <c r="A35" s="1" t="s">
        <v>17</v>
      </c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19"/>
    </row>
    <row r="36" spans="1:13" x14ac:dyDescent="0.3">
      <c r="C36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Flourimetro</dc:creator>
  <cp:lastModifiedBy>Inmaculada Garcia Romero</cp:lastModifiedBy>
  <dcterms:created xsi:type="dcterms:W3CDTF">2025-12-23T11:49:34Z</dcterms:created>
  <dcterms:modified xsi:type="dcterms:W3CDTF">2026-03-16T12:01:12Z</dcterms:modified>
</cp:coreProperties>
</file>